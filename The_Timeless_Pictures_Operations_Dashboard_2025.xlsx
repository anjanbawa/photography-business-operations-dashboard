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5.xml.rels" ContentType="application/vnd.openxmlformats-package.relationships+xml"/>
  <Override PartName="/xl/worksheets/_rels/sheet3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roject Data" sheetId="1" state="visible" r:id="rId3"/>
    <sheet name="KPI Dashboard" sheetId="2" state="visible" r:id="rId4"/>
    <sheet name="Monthly Analysis" sheetId="3" state="visible" r:id="rId5"/>
    <sheet name="Team Performance" sheetId="4" state="visible" r:id="rId6"/>
    <sheet name="Project Type Analysis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<sst xmlns="http://schemas.openxmlformats.org/spreadsheetml/2006/main" count="189" uniqueCount="110">
  <si>
    <t xml:space="preserve">Invoice No.</t>
  </si>
  <si>
    <t xml:space="preserve">Client Name</t>
  </si>
  <si>
    <t xml:space="preserve">Project Type</t>
  </si>
  <si>
    <t xml:space="preserve">Assigned To</t>
  </si>
  <si>
    <t xml:space="preserve">Invoice Date</t>
  </si>
  <si>
    <t xml:space="preserve">Work Date</t>
  </si>
  <si>
    <t xml:space="preserve">Bill Amount (INR)</t>
  </si>
  <si>
    <t xml:space="preserve">Actual Cost (INR)</t>
  </si>
  <si>
    <t xml:space="preserve">Profit (INR)</t>
  </si>
  <si>
    <t xml:space="preserve">Profit %</t>
  </si>
  <si>
    <t xml:space="preserve">Month</t>
  </si>
  <si>
    <t xml:space="preserve">Status</t>
  </si>
  <si>
    <t xml:space="preserve">Apurv</t>
  </si>
  <si>
    <t xml:space="preserve">Engagement Shoot</t>
  </si>
  <si>
    <t xml:space="preserve">Abhishek Anjan</t>
  </si>
  <si>
    <t xml:space="preserve">14-Jan-2025</t>
  </si>
  <si>
    <t xml:space="preserve">02-Feb-2025</t>
  </si>
  <si>
    <t xml:space="preserve">Jan</t>
  </si>
  <si>
    <t xml:space="preserve">Completed</t>
  </si>
  <si>
    <t xml:space="preserve">Pankaj Upadhyay</t>
  </si>
  <si>
    <t xml:space="preserve">Traditional Wedding</t>
  </si>
  <si>
    <t xml:space="preserve">Alex Soy</t>
  </si>
  <si>
    <t xml:space="preserve">21-Jan-2025</t>
  </si>
  <si>
    <t xml:space="preserve">17-Feb-2025</t>
  </si>
  <si>
    <t xml:space="preserve">Shivanand</t>
  </si>
  <si>
    <t xml:space="preserve">Cinematic Wedding</t>
  </si>
  <si>
    <t xml:space="preserve">Sanjeet</t>
  </si>
  <si>
    <t xml:space="preserve">22-Jan-2025</t>
  </si>
  <si>
    <t xml:space="preserve">30-Apr-2025</t>
  </si>
  <si>
    <t xml:space="preserve">Manish Anand</t>
  </si>
  <si>
    <t xml:space="preserve">13-Feb-2025</t>
  </si>
  <si>
    <t xml:space="preserve">08-Mar-2025</t>
  </si>
  <si>
    <t xml:space="preserve">Feb</t>
  </si>
  <si>
    <t xml:space="preserve">Ankita Raj</t>
  </si>
  <si>
    <t xml:space="preserve">Cinematic Engagement</t>
  </si>
  <si>
    <t xml:space="preserve">02-Mar-2025</t>
  </si>
  <si>
    <t xml:space="preserve">07-Mar-2025</t>
  </si>
  <si>
    <t xml:space="preserve">Mar</t>
  </si>
  <si>
    <t xml:space="preserve">14-Apr-2025</t>
  </si>
  <si>
    <t xml:space="preserve">25-May-2025</t>
  </si>
  <si>
    <t xml:space="preserve">Apr</t>
  </si>
  <si>
    <t xml:space="preserve">Haldi Shoot</t>
  </si>
  <si>
    <t xml:space="preserve">01-May-2025</t>
  </si>
  <si>
    <t xml:space="preserve">04-Jun-2025</t>
  </si>
  <si>
    <t xml:space="preserve">May</t>
  </si>
  <si>
    <t xml:space="preserve">Arsalan</t>
  </si>
  <si>
    <t xml:space="preserve">03-Aug-2025</t>
  </si>
  <si>
    <t xml:space="preserve">10-Aug-2025</t>
  </si>
  <si>
    <t xml:space="preserve">Aug</t>
  </si>
  <si>
    <t xml:space="preserve">Vicky Nayak</t>
  </si>
  <si>
    <t xml:space="preserve">24-Aug-2025</t>
  </si>
  <si>
    <t xml:space="preserve">27-Feb-2026</t>
  </si>
  <si>
    <t xml:space="preserve">Sunita Devi</t>
  </si>
  <si>
    <t xml:space="preserve">13-Sep-2025</t>
  </si>
  <si>
    <t xml:space="preserve">29-Nov-2025</t>
  </si>
  <si>
    <t xml:space="preserve">Sep</t>
  </si>
  <si>
    <t xml:space="preserve">Aditya Jha</t>
  </si>
  <si>
    <t xml:space="preserve">15-Oct-2025</t>
  </si>
  <si>
    <t xml:space="preserve">24-Oct-2025</t>
  </si>
  <si>
    <t xml:space="preserve">Oct</t>
  </si>
  <si>
    <t xml:space="preserve">Nishant Singh</t>
  </si>
  <si>
    <t xml:space="preserve">21-Oct-2025</t>
  </si>
  <si>
    <t xml:space="preserve">06-Dec-2025</t>
  </si>
  <si>
    <t xml:space="preserve">Khushbu Saw</t>
  </si>
  <si>
    <t xml:space="preserve">08-Nov-2025</t>
  </si>
  <si>
    <t xml:space="preserve">06-Feb-2026</t>
  </si>
  <si>
    <t xml:space="preserve">Nov</t>
  </si>
  <si>
    <t xml:space="preserve">Raj Kishore Singh</t>
  </si>
  <si>
    <t xml:space="preserve">08-Dec-2025</t>
  </si>
  <si>
    <t xml:space="preserve">23-Feb-2026</t>
  </si>
  <si>
    <t xml:space="preserve">Dec</t>
  </si>
  <si>
    <t xml:space="preserve">THE TIMELESS PICTURES — OPERATIONS DASHBOARD 2025</t>
  </si>
  <si>
    <t xml:space="preserve">Photography Business | Jamshedpur, India | Jan 2025 – Dec 2025  |  14 Real Client Projects</t>
  </si>
  <si>
    <t xml:space="preserve">TOTAL PROJECTS</t>
  </si>
  <si>
    <t xml:space="preserve">TOTAL BILLED (INR)</t>
  </si>
  <si>
    <t xml:space="preserve">TOTAL PROFIT (INR)</t>
  </si>
  <si>
    <t xml:space="preserve">AVG PROFIT MARGIN</t>
  </si>
  <si>
    <t xml:space="preserve">Jan – Dec 2025</t>
  </si>
  <si>
    <t xml:space="preserve">TOTAL ACTUAL COST</t>
  </si>
  <si>
    <t xml:space="preserve">HIGHEST SINGLE PROJECT</t>
  </si>
  <si>
    <t xml:space="preserve">AVG PROJECT VALUE</t>
  </si>
  <si>
    <t xml:space="preserve">COMPLETED PROJECTS</t>
  </si>
  <si>
    <t xml:space="preserve">MONTHLY REVENUE &amp; COST ANALYSIS — The Timeless Pictures 2025</t>
  </si>
  <si>
    <t xml:space="preserve">Projects</t>
  </si>
  <si>
    <t xml:space="preserve">Billed (INR)</t>
  </si>
  <si>
    <t xml:space="preserve">Cost (INR)</t>
  </si>
  <si>
    <t xml:space="preserve">Profit Margin %</t>
  </si>
  <si>
    <t xml:space="preserve">Jun</t>
  </si>
  <si>
    <t xml:space="preserve">-</t>
  </si>
  <si>
    <t xml:space="preserve">Jul</t>
  </si>
  <si>
    <t xml:space="preserve">TOTAL</t>
  </si>
  <si>
    <t xml:space="preserve">TEAM PERFORMANCE TRACKER — The Timeless Pictures 2025</t>
  </si>
  <si>
    <t xml:space="preserve">Team Member</t>
  </si>
  <si>
    <t xml:space="preserve">Role</t>
  </si>
  <si>
    <t xml:space="preserve">Total Billed (INR)</t>
  </si>
  <si>
    <t xml:space="preserve">Total Cost (INR)</t>
  </si>
  <si>
    <t xml:space="preserve">Total Profit (INR)</t>
  </si>
  <si>
    <t xml:space="preserve">Avg Profit Margin</t>
  </si>
  <si>
    <t xml:space="preserve">Operations Lead</t>
  </si>
  <si>
    <t xml:space="preserve">Photographer / Videographer</t>
  </si>
  <si>
    <t xml:space="preserve">Photographer / Cinematographer</t>
  </si>
  <si>
    <t xml:space="preserve">—</t>
  </si>
  <si>
    <t xml:space="preserve">KEY INSIGHTS</t>
  </si>
  <si>
    <t xml:space="preserve">• Total revenue billed across all 14 projects: ₹753,000 with an average profit margin of 13.1%.</t>
  </si>
  <si>
    <t xml:space="preserve">• Sanjeet managed the highest-value projects totalling ₹387,000 — driven by Cinematic Wedding bookings.</t>
  </si>
  <si>
    <t xml:space="preserve">• Nishant Singh (₹1,45,000) and Raj Kishore Singh (₹1,20,000) are the two highest-value clients — priority retention targets.</t>
  </si>
  <si>
    <t xml:space="preserve">• Cinematic Wedding is the highest-revenue project type — strategic focus for premium pricing and upsells.</t>
  </si>
  <si>
    <t xml:space="preserve">• All 14 projects marked Completed — 100% delivery rate maintained across the 2025 booking calendar.</t>
  </si>
  <si>
    <t xml:space="preserve">PROJECT TYPE REVENUE BREAKDOWN — The Timeless Pictures 2025</t>
  </si>
  <si>
    <t xml:space="preserve">No. of Projects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</si>
</sst>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\₹#,##0"/>
    <numFmt numFmtId="166" formatCode="0.0%"/>
    <numFmt numFmtId="167" formatCode="#,##0"/>
    <numFmt numFmtId="168" formatCode="\₹#,##0"/>
  </numFmts>
  <fonts count="2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sz val="10"/>
      <color rgb="FF1A1A1A"/>
      <name val="Arial"/>
      <family val="0"/>
      <charset val="1"/>
    </font>
    <font>
      <b val="true"/>
      <sz val="10"/>
      <color rgb="FF1E8449"/>
      <name val="Arial"/>
      <family val="0"/>
      <charset val="1"/>
    </font>
    <font>
      <b val="true"/>
      <sz val="16"/>
      <color rgb="FFFFFFFF"/>
      <name val="Arial"/>
      <family val="0"/>
      <charset val="1"/>
    </font>
    <font>
      <i val="true"/>
      <sz val="11"/>
      <color rgb="FF7F8C8D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20"/>
      <color rgb="FF1E8449"/>
      <name val="Arial"/>
      <family val="0"/>
      <charset val="1"/>
    </font>
    <font>
      <b val="true"/>
      <sz val="20"/>
      <color rgb="FF2E75B6"/>
      <name val="Arial"/>
      <family val="0"/>
      <charset val="1"/>
    </font>
    <font>
      <b val="true"/>
      <sz val="20"/>
      <color rgb="FFD4AC0D"/>
      <name val="Arial"/>
      <family val="0"/>
      <charset val="1"/>
    </font>
    <font>
      <i val="true"/>
      <sz val="9"/>
      <color rgb="FF7F8C8D"/>
      <name val="Arial"/>
      <family val="0"/>
      <charset val="1"/>
    </font>
    <font>
      <b val="true"/>
      <sz val="20"/>
      <color rgb="FF1F4E79"/>
      <name val="Arial"/>
      <family val="0"/>
      <charset val="1"/>
    </font>
    <font>
      <b val="true"/>
      <sz val="13"/>
      <color rgb="FFFFFFFF"/>
      <name val="Arial"/>
      <family val="0"/>
      <charset val="1"/>
    </font>
    <font>
      <sz val="10"/>
      <color rgb="FF7F8C8D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  <font>
      <b val="true"/>
      <sz val="10"/>
      <color rgb="FF1A1A1A"/>
      <name val="Arial"/>
      <family val="0"/>
      <charset val="1"/>
    </font>
    <font>
      <sz val="10"/>
      <color rgb="FF1E8449"/>
      <name val="Arial"/>
      <family val="0"/>
      <charset val="1"/>
    </font>
    <font>
      <sz val="10"/>
      <color rgb="FFD4AC0D"/>
      <name val="Arial"/>
      <family val="0"/>
      <charset val="1"/>
    </font>
    <font>
      <sz val="10"/>
      <color rgb="FFFFFFFF"/>
      <name val="Arial"/>
      <family val="0"/>
      <charset val="1"/>
    </font>
    <font>
      <b val="true"/>
      <sz val="11"/>
      <color rgb="FFFFFFFF"/>
      <name val="Arial"/>
      <family val="0"/>
      <charset val="1"/>
    </font>
  </fonts>
  <fills count="11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F2F2F2"/>
        <bgColor rgb="FFF9F9F9"/>
      </patternFill>
    </fill>
    <fill>
      <patternFill patternType="solid">
        <fgColor rgb="FFFFFFFF"/>
        <bgColor rgb="FFF9F9F9"/>
      </patternFill>
    </fill>
    <fill>
      <patternFill patternType="solid">
        <fgColor rgb="FFD6E4F0"/>
        <bgColor rgb="FFD9D9D9"/>
      </patternFill>
    </fill>
    <fill>
      <patternFill patternType="solid">
        <fgColor rgb="FF1E8449"/>
        <bgColor rgb="FF008080"/>
      </patternFill>
    </fill>
    <fill>
      <patternFill patternType="solid">
        <fgColor rgb="FF2E75B6"/>
        <bgColor rgb="FF0066CC"/>
      </patternFill>
    </fill>
    <fill>
      <patternFill patternType="solid">
        <fgColor rgb="FFD4AC0D"/>
        <bgColor rgb="FFFFCC00"/>
      </patternFill>
    </fill>
    <fill>
      <patternFill patternType="solid">
        <fgColor rgb="FFD5F5E3"/>
        <bgColor rgb="FFD6E4F0"/>
      </patternFill>
    </fill>
    <fill>
      <patternFill patternType="solid">
        <fgColor rgb="FFFEF9E7"/>
        <bgColor rgb="FFF9F9F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5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6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5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5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6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5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5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6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7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8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0" fillId="9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1" fillId="5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0" fillId="9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2" fillId="1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9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5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1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4" fillId="5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2" fillId="1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5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6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5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5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6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5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6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6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6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6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0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21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22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0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21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22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3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4" fillId="7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5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4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22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22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78787"/>
      <rgbColor rgb="FF9999FF"/>
      <rgbColor rgb="FF993366"/>
      <rgbColor rgb="FFFEF9E7"/>
      <rgbColor rgb="FFD6E4F0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D5F5E3"/>
      <rgbColor rgb="FFF9F9F9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D4AC0D"/>
      <rgbColor rgb="FFFF6600"/>
      <rgbColor rgb="FF666699"/>
      <rgbColor rgb="FF7F8C8D"/>
      <rgbColor rgb="FF003366"/>
      <rgbColor rgb="FF1E8449"/>
      <rgbColor rgb="FF003300"/>
      <rgbColor rgb="FF333300"/>
      <rgbColor rgb="FF993300"/>
      <rgbColor rgb="FF993366"/>
      <rgbColor rgb="FF1F4E79"/>
      <rgbColor rgb="FF1A1A1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Monthly Billing vs Cost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'Monthly Analysis'!C3</c:f>
              <c:strCache>
                <c:ptCount val="1"/>
                <c:pt idx="0">
                  <c:v>Billed (INR)</c:v>
                </c:pt>
              </c:strCache>
            </c:strRef>
          </c:tx>
          <c:spPr>
            <a:solidFill>
              <a:srgbClr val="2e75b6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'Monthly Analysis'!$A$4:$A$15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'Monthly Analysis'!$C$4:$C$15</c:f>
              <c:numCache>
                <c:formatCode>\₹#,##0</c:formatCode>
                <c:ptCount val="12"/>
                <c:pt idx="0">
                  <c:v>120000</c:v>
                </c:pt>
                <c:pt idx="1">
                  <c:v>35000</c:v>
                </c:pt>
                <c:pt idx="2">
                  <c:v>17000</c:v>
                </c:pt>
                <c:pt idx="3">
                  <c:v>87000</c:v>
                </c:pt>
                <c:pt idx="4">
                  <c:v>9000</c:v>
                </c:pt>
                <c:pt idx="7">
                  <c:v>130000</c:v>
                </c:pt>
                <c:pt idx="8">
                  <c:v>60000</c:v>
                </c:pt>
                <c:pt idx="9">
                  <c:v>150000</c:v>
                </c:pt>
                <c:pt idx="10">
                  <c:v>25000</c:v>
                </c:pt>
                <c:pt idx="11">
                  <c:v>120000</c:v>
                </c:pt>
              </c:numCache>
            </c:numRef>
          </c:val>
        </c:ser>
        <c:ser>
          <c:idx val="1"/>
          <c:order val="1"/>
          <c:tx>
            <c:strRef>
              <c:f>'Monthly Analysis'!D3</c:f>
              <c:strCache>
                <c:ptCount val="1"/>
                <c:pt idx="0">
                  <c:v>Cost (INR)</c:v>
                </c:pt>
              </c:strCache>
            </c:strRef>
          </c:tx>
          <c:spPr>
            <a:solidFill>
              <a:srgbClr val="d4ac0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'Monthly Analysis'!$A$4:$A$15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'Monthly Analysis'!$D$4:$D$15</c:f>
              <c:numCache>
                <c:formatCode>\₹#,##0</c:formatCode>
                <c:ptCount val="12"/>
                <c:pt idx="0">
                  <c:v>105250</c:v>
                </c:pt>
                <c:pt idx="1">
                  <c:v>31500</c:v>
                </c:pt>
                <c:pt idx="2">
                  <c:v>14960</c:v>
                </c:pt>
                <c:pt idx="3">
                  <c:v>74820</c:v>
                </c:pt>
                <c:pt idx="4">
                  <c:v>8100</c:v>
                </c:pt>
                <c:pt idx="7">
                  <c:v>113900</c:v>
                </c:pt>
                <c:pt idx="8">
                  <c:v>52800</c:v>
                </c:pt>
                <c:pt idx="9">
                  <c:v>127750</c:v>
                </c:pt>
                <c:pt idx="10">
                  <c:v>22000</c:v>
                </c:pt>
                <c:pt idx="11">
                  <c:v>103200</c:v>
                </c:pt>
              </c:numCache>
            </c:numRef>
          </c:val>
        </c:ser>
        <c:gapWidth val="150"/>
        <c:overlap val="0"/>
        <c:axId val="68487473"/>
        <c:axId val="13873703"/>
      </c:barChart>
      <c:catAx>
        <c:axId val="68487473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Month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3873703"/>
        <c:crosses val="autoZero"/>
        <c:auto val="1"/>
        <c:lblAlgn val="ctr"/>
        <c:lblOffset val="100"/>
        <c:noMultiLvlLbl val="0"/>
      </c:catAx>
      <c:valAx>
        <c:axId val="13873703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Amount (INR)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\₹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8487473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Revenue by Project Type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'Project Type Analysis'!C3</c:f>
              <c:strCache>
                <c:ptCount val="1"/>
                <c:pt idx="0">
                  <c:v>Total Billed (INR)</c:v>
                </c:pt>
              </c:strCache>
            </c:strRef>
          </c:tx>
          <c:spPr>
            <a:solidFill>
              <a:srgbClr val="2e75b6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'Project Type Analysis'!$A$4:$A$8</c:f>
              <c:strCache>
                <c:ptCount val="5"/>
                <c:pt idx="0">
                  <c:v>Cinematic Wedding</c:v>
                </c:pt>
                <c:pt idx="1">
                  <c:v>Traditional Wedding</c:v>
                </c:pt>
                <c:pt idx="2">
                  <c:v>Cinematic Engagement</c:v>
                </c:pt>
                <c:pt idx="3">
                  <c:v>Engagement Shoot</c:v>
                </c:pt>
                <c:pt idx="4">
                  <c:v>Haldi Shoot</c:v>
                </c:pt>
              </c:strCache>
            </c:strRef>
          </c:cat>
          <c:val>
            <c:numRef>
              <c:f>'Project Type Analysis'!$C$4:$C$8</c:f>
              <c:numCache>
                <c:formatCode>\₹#,##0</c:formatCode>
                <c:ptCount val="5"/>
                <c:pt idx="0">
                  <c:v>572000</c:v>
                </c:pt>
                <c:pt idx="1">
                  <c:v>105000</c:v>
                </c:pt>
                <c:pt idx="2">
                  <c:v>42000</c:v>
                </c:pt>
                <c:pt idx="3">
                  <c:v>25000</c:v>
                </c:pt>
                <c:pt idx="4">
                  <c:v>9000</c:v>
                </c:pt>
              </c:numCache>
            </c:numRef>
          </c:val>
        </c:ser>
        <c:ser>
          <c:idx val="1"/>
          <c:order val="1"/>
          <c:tx>
            <c:strRef>
              <c:f>'Project Type Analysis'!D3</c:f>
              <c:strCache>
                <c:ptCount val="1"/>
                <c:pt idx="0">
                  <c:v>Total Cost (INR)</c:v>
                </c:pt>
              </c:strCache>
            </c:strRef>
          </c:tx>
          <c:spPr>
            <a:solidFill>
              <a:srgbClr val="d4ac0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'Project Type Analysis'!$A$4:$A$8</c:f>
              <c:strCache>
                <c:ptCount val="5"/>
                <c:pt idx="0">
                  <c:v>Cinematic Wedding</c:v>
                </c:pt>
                <c:pt idx="1">
                  <c:v>Traditional Wedding</c:v>
                </c:pt>
                <c:pt idx="2">
                  <c:v>Cinematic Engagement</c:v>
                </c:pt>
                <c:pt idx="3">
                  <c:v>Engagement Shoot</c:v>
                </c:pt>
                <c:pt idx="4">
                  <c:v>Haldi Shoot</c:v>
                </c:pt>
              </c:strCache>
            </c:strRef>
          </c:cat>
          <c:val>
            <c:numRef>
              <c:f>'Project Type Analysis'!$D$4:$D$8</c:f>
              <c:numCache>
                <c:formatCode>\₹#,##0</c:formatCode>
                <c:ptCount val="5"/>
                <c:pt idx="0">
                  <c:v>493420</c:v>
                </c:pt>
                <c:pt idx="1">
                  <c:v>93800</c:v>
                </c:pt>
                <c:pt idx="2">
                  <c:v>36960</c:v>
                </c:pt>
                <c:pt idx="3">
                  <c:v>22000</c:v>
                </c:pt>
                <c:pt idx="4">
                  <c:v>8100</c:v>
                </c:pt>
              </c:numCache>
            </c:numRef>
          </c:val>
        </c:ser>
        <c:ser>
          <c:idx val="2"/>
          <c:order val="2"/>
          <c:tx>
            <c:strRef>
              <c:f>'Project Type Analysis'!E3</c:f>
              <c:strCache>
                <c:ptCount val="1"/>
                <c:pt idx="0">
                  <c:v>Total Profit (INR)</c:v>
                </c:pt>
              </c:strCache>
            </c:strRef>
          </c:tx>
          <c:spPr>
            <a:solidFill>
              <a:srgbClr val="1e8449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'Project Type Analysis'!$A$4:$A$8</c:f>
              <c:strCache>
                <c:ptCount val="5"/>
                <c:pt idx="0">
                  <c:v>Cinematic Wedding</c:v>
                </c:pt>
                <c:pt idx="1">
                  <c:v>Traditional Wedding</c:v>
                </c:pt>
                <c:pt idx="2">
                  <c:v>Cinematic Engagement</c:v>
                </c:pt>
                <c:pt idx="3">
                  <c:v>Engagement Shoot</c:v>
                </c:pt>
                <c:pt idx="4">
                  <c:v>Haldi Shoot</c:v>
                </c:pt>
              </c:strCache>
            </c:strRef>
          </c:cat>
          <c:val>
            <c:numRef>
              <c:f>'Project Type Analysis'!$E$4:$E$8</c:f>
              <c:numCache>
                <c:formatCode>\₹#,##0</c:formatCode>
                <c:ptCount val="5"/>
                <c:pt idx="0">
                  <c:v>78580</c:v>
                </c:pt>
                <c:pt idx="1">
                  <c:v>11200</c:v>
                </c:pt>
                <c:pt idx="2">
                  <c:v>5040</c:v>
                </c:pt>
                <c:pt idx="3">
                  <c:v>3000</c:v>
                </c:pt>
                <c:pt idx="4">
                  <c:v>900</c:v>
                </c:pt>
              </c:numCache>
            </c:numRef>
          </c:val>
        </c:ser>
        <c:gapWidth val="150"/>
        <c:overlap val="0"/>
        <c:axId val="29139301"/>
        <c:axId val="95187838"/>
      </c:barChart>
      <c:catAx>
        <c:axId val="29139301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5187838"/>
        <c:crosses val="autoZero"/>
        <c:auto val="1"/>
        <c:lblAlgn val="ctr"/>
        <c:lblOffset val="100"/>
        <c:noMultiLvlLbl val="0"/>
      </c:catAx>
      <c:valAx>
        <c:axId val="95187838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Amount (INR)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\₹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9139301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2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17</xdr:row>
      <xdr:rowOff>0</xdr:rowOff>
    </xdr:from>
    <xdr:to>
      <xdr:col>8</xdr:col>
      <xdr:colOff>55440</xdr:colOff>
      <xdr:row>39</xdr:row>
      <xdr:rowOff>128160</xdr:rowOff>
    </xdr:to>
    <xdr:graphicFrame>
      <xdr:nvGraphicFramePr>
        <xdr:cNvPr id="0" name="Chart 1"/>
        <xdr:cNvGraphicFramePr/>
      </xdr:nvGraphicFramePr>
      <xdr:xfrm>
        <a:off x="0" y="3429000"/>
        <a:ext cx="7199280" cy="43192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17</xdr:row>
      <xdr:rowOff>0</xdr:rowOff>
    </xdr:from>
    <xdr:to>
      <xdr:col>5</xdr:col>
      <xdr:colOff>503280</xdr:colOff>
      <xdr:row>39</xdr:row>
      <xdr:rowOff>128160</xdr:rowOff>
    </xdr:to>
    <xdr:graphicFrame>
      <xdr:nvGraphicFramePr>
        <xdr:cNvPr id="1" name="Chart 1"/>
        <xdr:cNvGraphicFramePr/>
      </xdr:nvGraphicFramePr>
      <xdr:xfrm>
        <a:off x="0" y="3429000"/>
        <a:ext cx="7199280" cy="43192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1"/>
    <col collapsed="false" customWidth="true" hidden="false" outlineLevel="0" max="2" min="2" style="1" width="20"/>
    <col collapsed="false" customWidth="true" hidden="false" outlineLevel="0" max="3" min="3" style="1" width="22"/>
    <col collapsed="false" customWidth="true" hidden="false" outlineLevel="0" max="4" min="4" style="1" width="18"/>
    <col collapsed="false" customWidth="true" hidden="false" outlineLevel="0" max="6" min="5" style="1" width="14"/>
    <col collapsed="false" customWidth="true" hidden="false" outlineLevel="0" max="8" min="7" style="1" width="17"/>
    <col collapsed="false" customWidth="true" hidden="false" outlineLevel="0" max="9" min="9" style="1" width="14"/>
    <col collapsed="false" customWidth="true" hidden="false" outlineLevel="0" max="10" min="10" style="1" width="10"/>
    <col collapsed="false" customWidth="true" hidden="false" outlineLevel="0" max="11" min="11" style="1" width="8"/>
    <col collapsed="false" customWidth="true" hidden="false" outlineLevel="0" max="12" min="12" style="1" width="11"/>
  </cols>
  <sheetData>
    <row r="1" customFormat="false" ht="30" hidden="false" customHeight="tru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customFormat="false" ht="15" hidden="false" customHeight="true" outlineLevel="0" collapsed="false">
      <c r="A2" s="3" t="n">
        <v>1</v>
      </c>
      <c r="B2" s="4" t="s">
        <v>12</v>
      </c>
      <c r="C2" s="4" t="s">
        <v>13</v>
      </c>
      <c r="D2" s="4" t="s">
        <v>14</v>
      </c>
      <c r="E2" s="3" t="s">
        <v>15</v>
      </c>
      <c r="F2" s="3" t="s">
        <v>16</v>
      </c>
      <c r="G2" s="5" t="n">
        <v>25000</v>
      </c>
      <c r="H2" s="5" t="n">
        <v>22000</v>
      </c>
      <c r="I2" s="6" t="n">
        <v>3000</v>
      </c>
      <c r="J2" s="7" t="n">
        <f aca="false">I2/G2</f>
        <v>0.12</v>
      </c>
      <c r="K2" s="3" t="s">
        <v>17</v>
      </c>
      <c r="L2" s="8" t="s">
        <v>18</v>
      </c>
    </row>
    <row r="3" customFormat="false" ht="15" hidden="false" customHeight="true" outlineLevel="0" collapsed="false">
      <c r="A3" s="9" t="n">
        <v>2</v>
      </c>
      <c r="B3" s="10" t="s">
        <v>19</v>
      </c>
      <c r="C3" s="10" t="s">
        <v>20</v>
      </c>
      <c r="D3" s="10" t="s">
        <v>21</v>
      </c>
      <c r="E3" s="9" t="s">
        <v>22</v>
      </c>
      <c r="F3" s="9" t="s">
        <v>23</v>
      </c>
      <c r="G3" s="11" t="n">
        <v>30000</v>
      </c>
      <c r="H3" s="11" t="n">
        <v>26700</v>
      </c>
      <c r="I3" s="12" t="n">
        <v>3300</v>
      </c>
      <c r="J3" s="13" t="n">
        <f aca="false">I3/G3</f>
        <v>0.11</v>
      </c>
      <c r="K3" s="9" t="s">
        <v>17</v>
      </c>
      <c r="L3" s="14" t="s">
        <v>18</v>
      </c>
    </row>
    <row r="4" customFormat="false" ht="15" hidden="false" customHeight="true" outlineLevel="0" collapsed="false">
      <c r="A4" s="3" t="n">
        <v>3</v>
      </c>
      <c r="B4" s="4" t="s">
        <v>24</v>
      </c>
      <c r="C4" s="4" t="s">
        <v>25</v>
      </c>
      <c r="D4" s="4" t="s">
        <v>26</v>
      </c>
      <c r="E4" s="3" t="s">
        <v>27</v>
      </c>
      <c r="F4" s="3" t="s">
        <v>28</v>
      </c>
      <c r="G4" s="5" t="n">
        <v>65000</v>
      </c>
      <c r="H4" s="5" t="n">
        <v>56550</v>
      </c>
      <c r="I4" s="6" t="n">
        <v>8450</v>
      </c>
      <c r="J4" s="7" t="n">
        <f aca="false">I4/G4</f>
        <v>0.13</v>
      </c>
      <c r="K4" s="3" t="s">
        <v>17</v>
      </c>
      <c r="L4" s="8" t="s">
        <v>18</v>
      </c>
    </row>
    <row r="5" customFormat="false" ht="15" hidden="false" customHeight="true" outlineLevel="0" collapsed="false">
      <c r="A5" s="9" t="n">
        <v>4</v>
      </c>
      <c r="B5" s="10" t="s">
        <v>29</v>
      </c>
      <c r="C5" s="10" t="s">
        <v>20</v>
      </c>
      <c r="D5" s="10" t="s">
        <v>14</v>
      </c>
      <c r="E5" s="9" t="s">
        <v>30</v>
      </c>
      <c r="F5" s="9" t="s">
        <v>31</v>
      </c>
      <c r="G5" s="11" t="n">
        <v>35000</v>
      </c>
      <c r="H5" s="11" t="n">
        <v>31500</v>
      </c>
      <c r="I5" s="12" t="n">
        <v>3500</v>
      </c>
      <c r="J5" s="13" t="n">
        <f aca="false">I5/G5</f>
        <v>0.1</v>
      </c>
      <c r="K5" s="9" t="s">
        <v>32</v>
      </c>
      <c r="L5" s="14" t="s">
        <v>18</v>
      </c>
    </row>
    <row r="6" customFormat="false" ht="15" hidden="false" customHeight="true" outlineLevel="0" collapsed="false">
      <c r="A6" s="3" t="n">
        <v>5</v>
      </c>
      <c r="B6" s="4" t="s">
        <v>33</v>
      </c>
      <c r="C6" s="4" t="s">
        <v>34</v>
      </c>
      <c r="D6" s="4" t="s">
        <v>21</v>
      </c>
      <c r="E6" s="3" t="s">
        <v>35</v>
      </c>
      <c r="F6" s="3" t="s">
        <v>36</v>
      </c>
      <c r="G6" s="5" t="n">
        <v>17000</v>
      </c>
      <c r="H6" s="5" t="n">
        <v>14960</v>
      </c>
      <c r="I6" s="6" t="n">
        <v>2040</v>
      </c>
      <c r="J6" s="7" t="n">
        <f aca="false">I6/G6</f>
        <v>0.12</v>
      </c>
      <c r="K6" s="3" t="s">
        <v>37</v>
      </c>
      <c r="L6" s="8" t="s">
        <v>18</v>
      </c>
    </row>
    <row r="7" customFormat="false" ht="15" hidden="false" customHeight="true" outlineLevel="0" collapsed="false">
      <c r="A7" s="9" t="n">
        <v>6</v>
      </c>
      <c r="B7" s="10" t="s">
        <v>12</v>
      </c>
      <c r="C7" s="10" t="s">
        <v>25</v>
      </c>
      <c r="D7" s="10" t="s">
        <v>26</v>
      </c>
      <c r="E7" s="9" t="s">
        <v>38</v>
      </c>
      <c r="F7" s="9" t="s">
        <v>39</v>
      </c>
      <c r="G7" s="11" t="n">
        <v>87000</v>
      </c>
      <c r="H7" s="11" t="n">
        <v>74820</v>
      </c>
      <c r="I7" s="12" t="n">
        <v>12180</v>
      </c>
      <c r="J7" s="13" t="n">
        <f aca="false">I7/G7</f>
        <v>0.14</v>
      </c>
      <c r="K7" s="9" t="s">
        <v>40</v>
      </c>
      <c r="L7" s="14" t="s">
        <v>18</v>
      </c>
    </row>
    <row r="8" customFormat="false" ht="15" hidden="false" customHeight="true" outlineLevel="0" collapsed="false">
      <c r="A8" s="3" t="n">
        <v>7</v>
      </c>
      <c r="B8" s="4" t="s">
        <v>12</v>
      </c>
      <c r="C8" s="4" t="s">
        <v>41</v>
      </c>
      <c r="D8" s="4" t="s">
        <v>14</v>
      </c>
      <c r="E8" s="3" t="s">
        <v>42</v>
      </c>
      <c r="F8" s="3" t="s">
        <v>43</v>
      </c>
      <c r="G8" s="5" t="n">
        <v>9000</v>
      </c>
      <c r="H8" s="5" t="n">
        <v>8100</v>
      </c>
      <c r="I8" s="6" t="n">
        <v>900</v>
      </c>
      <c r="J8" s="7" t="n">
        <f aca="false">I8/G8</f>
        <v>0.1</v>
      </c>
      <c r="K8" s="3" t="s">
        <v>44</v>
      </c>
      <c r="L8" s="8" t="s">
        <v>18</v>
      </c>
    </row>
    <row r="9" customFormat="false" ht="15" hidden="false" customHeight="true" outlineLevel="0" collapsed="false">
      <c r="A9" s="9" t="n">
        <v>8</v>
      </c>
      <c r="B9" s="10" t="s">
        <v>45</v>
      </c>
      <c r="C9" s="10" t="s">
        <v>20</v>
      </c>
      <c r="D9" s="10" t="s">
        <v>21</v>
      </c>
      <c r="E9" s="9" t="s">
        <v>46</v>
      </c>
      <c r="F9" s="9" t="s">
        <v>47</v>
      </c>
      <c r="G9" s="11" t="n">
        <v>40000</v>
      </c>
      <c r="H9" s="11" t="n">
        <v>35600</v>
      </c>
      <c r="I9" s="12" t="n">
        <v>4400</v>
      </c>
      <c r="J9" s="13" t="n">
        <f aca="false">I9/G9</f>
        <v>0.11</v>
      </c>
      <c r="K9" s="9" t="s">
        <v>48</v>
      </c>
      <c r="L9" s="14" t="s">
        <v>18</v>
      </c>
    </row>
    <row r="10" customFormat="false" ht="15" hidden="false" customHeight="true" outlineLevel="0" collapsed="false">
      <c r="A10" s="3" t="n">
        <v>9</v>
      </c>
      <c r="B10" s="4" t="s">
        <v>49</v>
      </c>
      <c r="C10" s="4" t="s">
        <v>25</v>
      </c>
      <c r="D10" s="4" t="s">
        <v>26</v>
      </c>
      <c r="E10" s="3" t="s">
        <v>50</v>
      </c>
      <c r="F10" s="3" t="s">
        <v>51</v>
      </c>
      <c r="G10" s="5" t="n">
        <v>90000</v>
      </c>
      <c r="H10" s="5" t="n">
        <v>78300</v>
      </c>
      <c r="I10" s="6" t="n">
        <v>11700</v>
      </c>
      <c r="J10" s="7" t="n">
        <f aca="false">I10/G10</f>
        <v>0.13</v>
      </c>
      <c r="K10" s="3" t="s">
        <v>48</v>
      </c>
      <c r="L10" s="8" t="s">
        <v>18</v>
      </c>
    </row>
    <row r="11" customFormat="false" ht="15" hidden="false" customHeight="true" outlineLevel="0" collapsed="false">
      <c r="A11" s="9" t="n">
        <v>10</v>
      </c>
      <c r="B11" s="10" t="s">
        <v>52</v>
      </c>
      <c r="C11" s="10" t="s">
        <v>25</v>
      </c>
      <c r="D11" s="10" t="s">
        <v>14</v>
      </c>
      <c r="E11" s="9" t="s">
        <v>53</v>
      </c>
      <c r="F11" s="9" t="s">
        <v>54</v>
      </c>
      <c r="G11" s="11" t="n">
        <v>60000</v>
      </c>
      <c r="H11" s="11" t="n">
        <v>52800</v>
      </c>
      <c r="I11" s="12" t="n">
        <v>7200</v>
      </c>
      <c r="J11" s="13" t="n">
        <f aca="false">I11/G11</f>
        <v>0.12</v>
      </c>
      <c r="K11" s="9" t="s">
        <v>55</v>
      </c>
      <c r="L11" s="14" t="s">
        <v>18</v>
      </c>
    </row>
    <row r="12" customFormat="false" ht="15" hidden="false" customHeight="true" outlineLevel="0" collapsed="false">
      <c r="A12" s="3" t="n">
        <v>11</v>
      </c>
      <c r="B12" s="4" t="s">
        <v>56</v>
      </c>
      <c r="C12" s="4" t="s">
        <v>25</v>
      </c>
      <c r="D12" s="4" t="s">
        <v>21</v>
      </c>
      <c r="E12" s="3" t="s">
        <v>57</v>
      </c>
      <c r="F12" s="3" t="s">
        <v>58</v>
      </c>
      <c r="G12" s="5" t="n">
        <v>5000</v>
      </c>
      <c r="H12" s="5" t="n">
        <v>4500</v>
      </c>
      <c r="I12" s="6" t="n">
        <v>500</v>
      </c>
      <c r="J12" s="7" t="n">
        <f aca="false">I12/G12</f>
        <v>0.1</v>
      </c>
      <c r="K12" s="3" t="s">
        <v>59</v>
      </c>
      <c r="L12" s="8" t="s">
        <v>18</v>
      </c>
    </row>
    <row r="13" customFormat="false" ht="15" hidden="false" customHeight="true" outlineLevel="0" collapsed="false">
      <c r="A13" s="9" t="n">
        <v>12</v>
      </c>
      <c r="B13" s="10" t="s">
        <v>60</v>
      </c>
      <c r="C13" s="10" t="s">
        <v>25</v>
      </c>
      <c r="D13" s="10" t="s">
        <v>26</v>
      </c>
      <c r="E13" s="9" t="s">
        <v>61</v>
      </c>
      <c r="F13" s="9" t="s">
        <v>62</v>
      </c>
      <c r="G13" s="11" t="n">
        <v>145000</v>
      </c>
      <c r="H13" s="11" t="n">
        <v>123250</v>
      </c>
      <c r="I13" s="12" t="n">
        <v>21750</v>
      </c>
      <c r="J13" s="13" t="n">
        <f aca="false">I13/G13</f>
        <v>0.15</v>
      </c>
      <c r="K13" s="9" t="s">
        <v>59</v>
      </c>
      <c r="L13" s="14" t="s">
        <v>18</v>
      </c>
    </row>
    <row r="14" customFormat="false" ht="15" hidden="false" customHeight="true" outlineLevel="0" collapsed="false">
      <c r="A14" s="3" t="n">
        <v>13</v>
      </c>
      <c r="B14" s="4" t="s">
        <v>63</v>
      </c>
      <c r="C14" s="4" t="s">
        <v>34</v>
      </c>
      <c r="D14" s="4" t="s">
        <v>14</v>
      </c>
      <c r="E14" s="3" t="s">
        <v>64</v>
      </c>
      <c r="F14" s="3" t="s">
        <v>65</v>
      </c>
      <c r="G14" s="5" t="n">
        <v>25000</v>
      </c>
      <c r="H14" s="5" t="n">
        <v>22000</v>
      </c>
      <c r="I14" s="6" t="n">
        <v>3000</v>
      </c>
      <c r="J14" s="7" t="n">
        <f aca="false">I14/G14</f>
        <v>0.12</v>
      </c>
      <c r="K14" s="3" t="s">
        <v>66</v>
      </c>
      <c r="L14" s="8" t="s">
        <v>18</v>
      </c>
    </row>
    <row r="15" customFormat="false" ht="15" hidden="false" customHeight="true" outlineLevel="0" collapsed="false">
      <c r="A15" s="9" t="n">
        <v>14</v>
      </c>
      <c r="B15" s="10" t="s">
        <v>67</v>
      </c>
      <c r="C15" s="10" t="s">
        <v>25</v>
      </c>
      <c r="D15" s="10" t="s">
        <v>21</v>
      </c>
      <c r="E15" s="9" t="s">
        <v>68</v>
      </c>
      <c r="F15" s="9" t="s">
        <v>69</v>
      </c>
      <c r="G15" s="11" t="n">
        <v>120000</v>
      </c>
      <c r="H15" s="11" t="n">
        <v>103200</v>
      </c>
      <c r="I15" s="12" t="n">
        <v>16800</v>
      </c>
      <c r="J15" s="13" t="n">
        <f aca="false">I15/G15</f>
        <v>0.14</v>
      </c>
      <c r="K15" s="9" t="s">
        <v>70</v>
      </c>
      <c r="L15" s="14" t="s">
        <v>18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1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6" min="1" style="1" width="9.52"/>
  </cols>
  <sheetData>
    <row r="1" customFormat="false" ht="37.5" hidden="false" customHeight="true" outlineLevel="0" collapsed="false">
      <c r="A1" s="15" t="s">
        <v>71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</row>
    <row r="2" customFormat="false" ht="21.75" hidden="false" customHeight="true" outlineLevel="0" collapsed="false">
      <c r="A2" s="16" t="s">
        <v>72</v>
      </c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</row>
    <row r="4" customFormat="false" ht="19.5" hidden="false" customHeight="true" outlineLevel="0" collapsed="false">
      <c r="A4" s="17" t="s">
        <v>73</v>
      </c>
      <c r="B4" s="17"/>
      <c r="C4" s="17"/>
      <c r="D4" s="17"/>
      <c r="E4" s="18" t="s">
        <v>74</v>
      </c>
      <c r="F4" s="18"/>
      <c r="G4" s="18"/>
      <c r="H4" s="18"/>
      <c r="I4" s="17" t="s">
        <v>75</v>
      </c>
      <c r="J4" s="17"/>
      <c r="K4" s="17"/>
      <c r="L4" s="17"/>
      <c r="M4" s="19" t="s">
        <v>76</v>
      </c>
      <c r="N4" s="19"/>
      <c r="O4" s="19"/>
      <c r="P4" s="19"/>
    </row>
    <row r="5" customFormat="false" ht="21.75" hidden="false" customHeight="true" outlineLevel="0" collapsed="false">
      <c r="A5" s="20" t="n">
        <f aca="false">COUNTA('Project Data'!A2:A15)</f>
        <v>14</v>
      </c>
      <c r="B5" s="20"/>
      <c r="C5" s="20"/>
      <c r="D5" s="20"/>
      <c r="E5" s="21" t="n">
        <f aca="false">SUM('Project Data'!G2:G15)</f>
        <v>753000</v>
      </c>
      <c r="F5" s="21"/>
      <c r="G5" s="21"/>
      <c r="H5" s="21"/>
      <c r="I5" s="22" t="n">
        <f aca="false">SUM('Project Data'!I2:I15)</f>
        <v>98720</v>
      </c>
      <c r="J5" s="22"/>
      <c r="K5" s="22"/>
      <c r="L5" s="22"/>
      <c r="M5" s="23" t="n">
        <f aca="false">SUM('Project Data'!I2:I15)/SUM('Project Data'!G2:G15)</f>
        <v>0.131102257636122</v>
      </c>
      <c r="N5" s="23"/>
      <c r="O5" s="23"/>
      <c r="P5" s="23"/>
    </row>
    <row r="6" customFormat="false" ht="21.75" hidden="false" customHeight="true" outlineLevel="0" collapsed="false">
      <c r="A6" s="20"/>
      <c r="B6" s="20"/>
      <c r="C6" s="20"/>
      <c r="D6" s="20"/>
      <c r="E6" s="21"/>
      <c r="F6" s="21"/>
      <c r="G6" s="21"/>
      <c r="H6" s="21"/>
      <c r="I6" s="22"/>
      <c r="J6" s="22"/>
      <c r="K6" s="22"/>
      <c r="L6" s="22"/>
      <c r="M6" s="23"/>
      <c r="N6" s="23"/>
      <c r="O6" s="23"/>
      <c r="P6" s="23"/>
    </row>
    <row r="7" customFormat="false" ht="15.75" hidden="false" customHeight="true" outlineLevel="0" collapsed="false">
      <c r="A7" s="24" t="s">
        <v>77</v>
      </c>
      <c r="B7" s="24"/>
      <c r="C7" s="24"/>
      <c r="D7" s="24"/>
      <c r="E7" s="25" t="s">
        <v>77</v>
      </c>
      <c r="F7" s="25"/>
      <c r="G7" s="25"/>
      <c r="H7" s="25"/>
      <c r="I7" s="24" t="s">
        <v>77</v>
      </c>
      <c r="J7" s="24"/>
      <c r="K7" s="24"/>
      <c r="L7" s="24"/>
      <c r="M7" s="26" t="s">
        <v>77</v>
      </c>
      <c r="N7" s="26"/>
      <c r="O7" s="26"/>
      <c r="P7" s="26"/>
    </row>
    <row r="9" customFormat="false" ht="19.5" hidden="false" customHeight="true" outlineLevel="0" collapsed="false">
      <c r="A9" s="18" t="s">
        <v>78</v>
      </c>
      <c r="B9" s="18"/>
      <c r="C9" s="18"/>
      <c r="D9" s="18"/>
      <c r="E9" s="27" t="s">
        <v>79</v>
      </c>
      <c r="F9" s="27"/>
      <c r="G9" s="27"/>
      <c r="H9" s="27"/>
      <c r="I9" s="19" t="s">
        <v>80</v>
      </c>
      <c r="J9" s="19"/>
      <c r="K9" s="19"/>
      <c r="L9" s="19"/>
      <c r="M9" s="17" t="s">
        <v>81</v>
      </c>
      <c r="N9" s="17"/>
      <c r="O9" s="17"/>
      <c r="P9" s="17"/>
    </row>
    <row r="10" customFormat="false" ht="21.75" hidden="false" customHeight="true" outlineLevel="0" collapsed="false">
      <c r="A10" s="21" t="n">
        <f aca="false">SUM('Project Data'!H2:H15)</f>
        <v>654280</v>
      </c>
      <c r="B10" s="21"/>
      <c r="C10" s="21"/>
      <c r="D10" s="21"/>
      <c r="E10" s="28" t="n">
        <f aca="false">MAX('Project Data'!G2:G15)</f>
        <v>145000</v>
      </c>
      <c r="F10" s="28"/>
      <c r="G10" s="28"/>
      <c r="H10" s="28"/>
      <c r="I10" s="29" t="n">
        <f aca="false">AVERAGE('Project Data'!G2:G15)</f>
        <v>53785.7142857143</v>
      </c>
      <c r="J10" s="29"/>
      <c r="K10" s="29"/>
      <c r="L10" s="29"/>
      <c r="M10" s="20" t="n">
        <f aca="false">COUNTIF('Project Data'!L2:L15,"Completed")</f>
        <v>14</v>
      </c>
      <c r="N10" s="20"/>
      <c r="O10" s="20"/>
      <c r="P10" s="20"/>
    </row>
    <row r="11" customFormat="false" ht="21.75" hidden="false" customHeight="true" outlineLevel="0" collapsed="false">
      <c r="A11" s="21"/>
      <c r="B11" s="21"/>
      <c r="C11" s="21"/>
      <c r="D11" s="21"/>
      <c r="E11" s="28"/>
      <c r="F11" s="28"/>
      <c r="G11" s="28"/>
      <c r="H11" s="28"/>
      <c r="I11" s="29"/>
      <c r="J11" s="29"/>
      <c r="K11" s="29"/>
      <c r="L11" s="29"/>
      <c r="M11" s="20"/>
      <c r="N11" s="20"/>
      <c r="O11" s="20"/>
      <c r="P11" s="20"/>
    </row>
    <row r="12" customFormat="false" ht="15.75" hidden="false" customHeight="true" outlineLevel="0" collapsed="false">
      <c r="A12" s="25" t="s">
        <v>77</v>
      </c>
      <c r="B12" s="25"/>
      <c r="C12" s="25"/>
      <c r="D12" s="25"/>
      <c r="E12" s="25" t="s">
        <v>77</v>
      </c>
      <c r="F12" s="25"/>
      <c r="G12" s="25"/>
      <c r="H12" s="25"/>
      <c r="I12" s="26" t="s">
        <v>77</v>
      </c>
      <c r="J12" s="26"/>
      <c r="K12" s="26"/>
      <c r="L12" s="26"/>
      <c r="M12" s="24" t="s">
        <v>77</v>
      </c>
      <c r="N12" s="24"/>
      <c r="O12" s="24"/>
      <c r="P12" s="24"/>
    </row>
  </sheetData>
  <mergeCells count="26">
    <mergeCell ref="A1:P1"/>
    <mergeCell ref="A2:P2"/>
    <mergeCell ref="A4:D4"/>
    <mergeCell ref="E4:H4"/>
    <mergeCell ref="I4:L4"/>
    <mergeCell ref="M4:P4"/>
    <mergeCell ref="A5:D6"/>
    <mergeCell ref="E5:H6"/>
    <mergeCell ref="I5:L6"/>
    <mergeCell ref="M5:P6"/>
    <mergeCell ref="A7:D7"/>
    <mergeCell ref="E7:H7"/>
    <mergeCell ref="I7:L7"/>
    <mergeCell ref="M7:P7"/>
    <mergeCell ref="A9:D9"/>
    <mergeCell ref="E9:H9"/>
    <mergeCell ref="I9:L9"/>
    <mergeCell ref="M9:P9"/>
    <mergeCell ref="A10:D11"/>
    <mergeCell ref="E10:H11"/>
    <mergeCell ref="I10:L11"/>
    <mergeCell ref="M10:P11"/>
    <mergeCell ref="A12:D12"/>
    <mergeCell ref="E12:H12"/>
    <mergeCell ref="I12:L12"/>
    <mergeCell ref="M12:P1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1" width="10"/>
    <col collapsed="false" customWidth="true" hidden="false" outlineLevel="0" max="6" min="3" style="1" width="16"/>
  </cols>
  <sheetData>
    <row r="1" customFormat="false" ht="30" hidden="false" customHeight="true" outlineLevel="0" collapsed="false">
      <c r="A1" s="30" t="s">
        <v>82</v>
      </c>
      <c r="B1" s="30"/>
      <c r="C1" s="30"/>
      <c r="D1" s="30"/>
      <c r="E1" s="30"/>
      <c r="F1" s="30"/>
      <c r="G1" s="30"/>
    </row>
    <row r="3" customFormat="false" ht="15" hidden="false" customHeight="true" outlineLevel="0" collapsed="false">
      <c r="A3" s="2" t="s">
        <v>10</v>
      </c>
      <c r="B3" s="2" t="s">
        <v>83</v>
      </c>
      <c r="C3" s="2" t="s">
        <v>84</v>
      </c>
      <c r="D3" s="2" t="s">
        <v>85</v>
      </c>
      <c r="E3" s="2" t="s">
        <v>8</v>
      </c>
      <c r="F3" s="2" t="s">
        <v>86</v>
      </c>
    </row>
    <row r="4" customFormat="false" ht="15" hidden="false" customHeight="true" outlineLevel="0" collapsed="false">
      <c r="A4" s="3" t="s">
        <v>17</v>
      </c>
      <c r="B4" s="31" t="n">
        <v>3</v>
      </c>
      <c r="C4" s="5" t="n">
        <v>120000</v>
      </c>
      <c r="D4" s="5" t="n">
        <v>105250</v>
      </c>
      <c r="E4" s="32" t="n">
        <f aca="false">C4-D4</f>
        <v>14750</v>
      </c>
      <c r="F4" s="33" t="n">
        <f aca="false">IF(C4&gt;0,E4/C4,0)</f>
        <v>0.122916666666667</v>
      </c>
    </row>
    <row r="5" customFormat="false" ht="15" hidden="false" customHeight="true" outlineLevel="0" collapsed="false">
      <c r="A5" s="9" t="s">
        <v>32</v>
      </c>
      <c r="B5" s="34" t="n">
        <v>1</v>
      </c>
      <c r="C5" s="11" t="n">
        <v>35000</v>
      </c>
      <c r="D5" s="11" t="n">
        <v>31500</v>
      </c>
      <c r="E5" s="35" t="n">
        <f aca="false">C5-D5</f>
        <v>3500</v>
      </c>
      <c r="F5" s="36" t="n">
        <f aca="false">IF(C5&gt;0,E5/C5,0)</f>
        <v>0.1</v>
      </c>
    </row>
    <row r="6" customFormat="false" ht="15" hidden="false" customHeight="true" outlineLevel="0" collapsed="false">
      <c r="A6" s="3" t="s">
        <v>37</v>
      </c>
      <c r="B6" s="31" t="n">
        <v>1</v>
      </c>
      <c r="C6" s="5" t="n">
        <v>17000</v>
      </c>
      <c r="D6" s="5" t="n">
        <v>14960</v>
      </c>
      <c r="E6" s="32" t="n">
        <f aca="false">C6-D6</f>
        <v>2040</v>
      </c>
      <c r="F6" s="33" t="n">
        <f aca="false">IF(C6&gt;0,E6/C6,0)</f>
        <v>0.12</v>
      </c>
    </row>
    <row r="7" customFormat="false" ht="15" hidden="false" customHeight="true" outlineLevel="0" collapsed="false">
      <c r="A7" s="9" t="s">
        <v>40</v>
      </c>
      <c r="B7" s="34" t="n">
        <v>1</v>
      </c>
      <c r="C7" s="11" t="n">
        <v>87000</v>
      </c>
      <c r="D7" s="11" t="n">
        <v>74820</v>
      </c>
      <c r="E7" s="35" t="n">
        <f aca="false">C7-D7</f>
        <v>12180</v>
      </c>
      <c r="F7" s="36" t="n">
        <f aca="false">IF(C7&gt;0,E7/C7,0)</f>
        <v>0.14</v>
      </c>
    </row>
    <row r="8" customFormat="false" ht="15" hidden="false" customHeight="true" outlineLevel="0" collapsed="false">
      <c r="A8" s="3" t="s">
        <v>44</v>
      </c>
      <c r="B8" s="31" t="n">
        <v>1</v>
      </c>
      <c r="C8" s="5" t="n">
        <v>9000</v>
      </c>
      <c r="D8" s="5" t="n">
        <v>8100</v>
      </c>
      <c r="E8" s="32" t="n">
        <f aca="false">C8-D8</f>
        <v>900</v>
      </c>
      <c r="F8" s="33" t="n">
        <f aca="false">IF(C8&gt;0,E8/C8,0)</f>
        <v>0.1</v>
      </c>
    </row>
    <row r="9" customFormat="false" ht="15" hidden="false" customHeight="true" outlineLevel="0" collapsed="false">
      <c r="A9" s="9" t="s">
        <v>87</v>
      </c>
      <c r="B9" s="34" t="s">
        <v>88</v>
      </c>
      <c r="C9" s="11" t="s">
        <v>88</v>
      </c>
      <c r="D9" s="11" t="s">
        <v>88</v>
      </c>
      <c r="E9" s="37" t="n">
        <v>0</v>
      </c>
      <c r="F9" s="38" t="n">
        <v>0</v>
      </c>
    </row>
    <row r="10" customFormat="false" ht="15" hidden="false" customHeight="true" outlineLevel="0" collapsed="false">
      <c r="A10" s="3" t="s">
        <v>89</v>
      </c>
      <c r="B10" s="31" t="s">
        <v>88</v>
      </c>
      <c r="C10" s="5" t="s">
        <v>88</v>
      </c>
      <c r="D10" s="5" t="s">
        <v>88</v>
      </c>
      <c r="E10" s="39" t="n">
        <v>0</v>
      </c>
      <c r="F10" s="40" t="n">
        <v>0</v>
      </c>
    </row>
    <row r="11" customFormat="false" ht="15" hidden="false" customHeight="true" outlineLevel="0" collapsed="false">
      <c r="A11" s="9" t="s">
        <v>48</v>
      </c>
      <c r="B11" s="34" t="n">
        <v>2</v>
      </c>
      <c r="C11" s="11" t="n">
        <v>130000</v>
      </c>
      <c r="D11" s="11" t="n">
        <v>113900</v>
      </c>
      <c r="E11" s="35" t="n">
        <f aca="false">C11-D11</f>
        <v>16100</v>
      </c>
      <c r="F11" s="36" t="n">
        <f aca="false">IF(C11&gt;0,E11/C11,0)</f>
        <v>0.123846153846154</v>
      </c>
    </row>
    <row r="12" customFormat="false" ht="15" hidden="false" customHeight="true" outlineLevel="0" collapsed="false">
      <c r="A12" s="3" t="s">
        <v>55</v>
      </c>
      <c r="B12" s="31" t="n">
        <v>1</v>
      </c>
      <c r="C12" s="5" t="n">
        <v>60000</v>
      </c>
      <c r="D12" s="5" t="n">
        <v>52800</v>
      </c>
      <c r="E12" s="32" t="n">
        <f aca="false">C12-D12</f>
        <v>7200</v>
      </c>
      <c r="F12" s="33" t="n">
        <f aca="false">IF(C12&gt;0,E12/C12,0)</f>
        <v>0.12</v>
      </c>
    </row>
    <row r="13" customFormat="false" ht="15" hidden="false" customHeight="true" outlineLevel="0" collapsed="false">
      <c r="A13" s="9" t="s">
        <v>59</v>
      </c>
      <c r="B13" s="34" t="n">
        <v>2</v>
      </c>
      <c r="C13" s="11" t="n">
        <v>150000</v>
      </c>
      <c r="D13" s="11" t="n">
        <v>127750</v>
      </c>
      <c r="E13" s="35" t="n">
        <f aca="false">C13-D13</f>
        <v>22250</v>
      </c>
      <c r="F13" s="36" t="n">
        <f aca="false">IF(C13&gt;0,E13/C13,0)</f>
        <v>0.148333333333333</v>
      </c>
    </row>
    <row r="14" customFormat="false" ht="15" hidden="false" customHeight="true" outlineLevel="0" collapsed="false">
      <c r="A14" s="3" t="s">
        <v>66</v>
      </c>
      <c r="B14" s="31" t="n">
        <v>1</v>
      </c>
      <c r="C14" s="5" t="n">
        <v>25000</v>
      </c>
      <c r="D14" s="5" t="n">
        <v>22000</v>
      </c>
      <c r="E14" s="32" t="n">
        <f aca="false">C14-D14</f>
        <v>3000</v>
      </c>
      <c r="F14" s="33" t="n">
        <f aca="false">IF(C14&gt;0,E14/C14,0)</f>
        <v>0.12</v>
      </c>
    </row>
    <row r="15" customFormat="false" ht="15" hidden="false" customHeight="true" outlineLevel="0" collapsed="false">
      <c r="A15" s="9" t="s">
        <v>70</v>
      </c>
      <c r="B15" s="34" t="n">
        <v>1</v>
      </c>
      <c r="C15" s="11" t="n">
        <v>120000</v>
      </c>
      <c r="D15" s="11" t="n">
        <v>103200</v>
      </c>
      <c r="E15" s="35" t="n">
        <f aca="false">C15-D15</f>
        <v>16800</v>
      </c>
      <c r="F15" s="36" t="n">
        <f aca="false">IF(C15&gt;0,E15/C15,0)</f>
        <v>0.14</v>
      </c>
    </row>
    <row r="16" customFormat="false" ht="15" hidden="false" customHeight="true" outlineLevel="0" collapsed="false">
      <c r="A16" s="2" t="s">
        <v>90</v>
      </c>
      <c r="B16" s="41" t="n">
        <f aca="false">SUM(B4:B15)</f>
        <v>14</v>
      </c>
      <c r="C16" s="42" t="n">
        <f aca="false">SUM(C4:C15)</f>
        <v>753000</v>
      </c>
      <c r="D16" s="42" t="n">
        <f aca="false">SUM(D4:D15)</f>
        <v>654280</v>
      </c>
      <c r="E16" s="42" t="n">
        <f aca="false">SUM(E4:E15)</f>
        <v>98720</v>
      </c>
      <c r="F16" s="43" t="n">
        <f aca="false">E16/C16</f>
        <v>0.131102257636122</v>
      </c>
    </row>
  </sheetData>
  <mergeCells count="1">
    <mergeCell ref="A1:G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1" width="20"/>
    <col collapsed="false" customWidth="true" hidden="false" outlineLevel="0" max="3" min="3" style="1" width="10"/>
    <col collapsed="false" customWidth="true" hidden="false" outlineLevel="0" max="7" min="4" style="1" width="18"/>
  </cols>
  <sheetData>
    <row r="1" customFormat="false" ht="30" hidden="false" customHeight="true" outlineLevel="0" collapsed="false">
      <c r="A1" s="30" t="s">
        <v>91</v>
      </c>
      <c r="B1" s="30"/>
      <c r="C1" s="30"/>
      <c r="D1" s="30"/>
      <c r="E1" s="30"/>
      <c r="F1" s="30"/>
      <c r="G1" s="30"/>
    </row>
    <row r="3" customFormat="false" ht="15" hidden="false" customHeight="true" outlineLevel="0" collapsed="false">
      <c r="A3" s="2" t="s">
        <v>92</v>
      </c>
      <c r="B3" s="2" t="s">
        <v>93</v>
      </c>
      <c r="C3" s="2" t="s">
        <v>83</v>
      </c>
      <c r="D3" s="2" t="s">
        <v>94</v>
      </c>
      <c r="E3" s="2" t="s">
        <v>95</v>
      </c>
      <c r="F3" s="2" t="s">
        <v>96</v>
      </c>
      <c r="G3" s="2" t="s">
        <v>97</v>
      </c>
    </row>
    <row r="4" customFormat="false" ht="15" hidden="false" customHeight="true" outlineLevel="0" collapsed="false">
      <c r="A4" s="44" t="s">
        <v>14</v>
      </c>
      <c r="B4" s="4" t="s">
        <v>98</v>
      </c>
      <c r="C4" s="31" t="n">
        <f aca="false">COUNTIF('Project Data'!D:D,A4)</f>
        <v>5</v>
      </c>
      <c r="D4" s="5" t="n">
        <f aca="false">SUMIF('Project Data'!D:D,A4,'Project Data'!G:G)</f>
        <v>154000</v>
      </c>
      <c r="E4" s="5" t="n">
        <f aca="false">SUMIF('Project Data'!D:D,A4,'Project Data'!H:H)</f>
        <v>136400</v>
      </c>
      <c r="F4" s="45" t="n">
        <f aca="false">SUMIF('Project Data'!D:D,A4,'Project Data'!I:I)</f>
        <v>17600</v>
      </c>
      <c r="G4" s="46" t="n">
        <f aca="false">IF(D4&gt;0,F4/D4,0)</f>
        <v>0.114285714285714</v>
      </c>
    </row>
    <row r="5" customFormat="false" ht="23.25" hidden="false" customHeight="true" outlineLevel="0" collapsed="false">
      <c r="A5" s="47" t="s">
        <v>21</v>
      </c>
      <c r="B5" s="10" t="s">
        <v>99</v>
      </c>
      <c r="C5" s="34" t="n">
        <f aca="false">COUNTIF('Project Data'!D:D,A5)</f>
        <v>5</v>
      </c>
      <c r="D5" s="11" t="n">
        <f aca="false">SUMIF('Project Data'!D:D,A5,'Project Data'!G:G)</f>
        <v>212000</v>
      </c>
      <c r="E5" s="11" t="n">
        <f aca="false">SUMIF('Project Data'!D:D,A5,'Project Data'!H:H)</f>
        <v>184960</v>
      </c>
      <c r="F5" s="48" t="n">
        <f aca="false">SUMIF('Project Data'!D:D,A5,'Project Data'!I:I)</f>
        <v>27040</v>
      </c>
      <c r="G5" s="49" t="n">
        <f aca="false">IF(D5&gt;0,F5/D5,0)</f>
        <v>0.127547169811321</v>
      </c>
    </row>
    <row r="6" customFormat="false" ht="23.25" hidden="false" customHeight="true" outlineLevel="0" collapsed="false">
      <c r="A6" s="44" t="s">
        <v>26</v>
      </c>
      <c r="B6" s="4" t="s">
        <v>100</v>
      </c>
      <c r="C6" s="31" t="n">
        <f aca="false">COUNTIF('Project Data'!D:D,A6)</f>
        <v>4</v>
      </c>
      <c r="D6" s="5" t="n">
        <f aca="false">SUMIF('Project Data'!D:D,A6,'Project Data'!G:G)</f>
        <v>387000</v>
      </c>
      <c r="E6" s="5" t="n">
        <f aca="false">SUMIF('Project Data'!D:D,A6,'Project Data'!H:H)</f>
        <v>332920</v>
      </c>
      <c r="F6" s="45" t="n">
        <f aca="false">SUMIF('Project Data'!D:D,A6,'Project Data'!I:I)</f>
        <v>54080</v>
      </c>
      <c r="G6" s="46" t="n">
        <f aca="false">IF(D6&gt;0,F6/D6,0)</f>
        <v>0.139741602067183</v>
      </c>
    </row>
    <row r="7" customFormat="false" ht="15" hidden="false" customHeight="true" outlineLevel="0" collapsed="false">
      <c r="A7" s="2" t="s">
        <v>90</v>
      </c>
      <c r="B7" s="50" t="s">
        <v>101</v>
      </c>
      <c r="C7" s="41" t="n">
        <f aca="false">SUM(C4:C6)</f>
        <v>14</v>
      </c>
      <c r="D7" s="42" t="n">
        <f aca="false">SUM(D4:D6)</f>
        <v>753000</v>
      </c>
      <c r="E7" s="42" t="n">
        <f aca="false">SUM(E4:E6)</f>
        <v>654280</v>
      </c>
      <c r="F7" s="42" t="n">
        <f aca="false">SUM(F4:F6)</f>
        <v>98720</v>
      </c>
      <c r="G7" s="43" t="n">
        <f aca="false">F7/D7</f>
        <v>0.131102257636122</v>
      </c>
    </row>
    <row r="9" customFormat="false" ht="21.75" hidden="false" customHeight="true" outlineLevel="0" collapsed="false">
      <c r="A9" s="51" t="s">
        <v>102</v>
      </c>
      <c r="B9" s="51"/>
      <c r="C9" s="51"/>
      <c r="D9" s="51"/>
      <c r="E9" s="51"/>
      <c r="F9" s="51"/>
      <c r="G9" s="51"/>
    </row>
    <row r="10" customFormat="false" ht="21.75" hidden="false" customHeight="true" outlineLevel="0" collapsed="false">
      <c r="A10" s="52" t="s">
        <v>103</v>
      </c>
      <c r="B10" s="52"/>
      <c r="C10" s="52"/>
      <c r="D10" s="52"/>
      <c r="E10" s="52"/>
      <c r="F10" s="52"/>
      <c r="G10" s="52"/>
    </row>
    <row r="11" customFormat="false" ht="21.75" hidden="false" customHeight="true" outlineLevel="0" collapsed="false">
      <c r="A11" s="53" t="s">
        <v>104</v>
      </c>
      <c r="B11" s="53"/>
      <c r="C11" s="53"/>
      <c r="D11" s="53"/>
      <c r="E11" s="53"/>
      <c r="F11" s="53"/>
      <c r="G11" s="53"/>
    </row>
    <row r="12" customFormat="false" ht="21.75" hidden="false" customHeight="true" outlineLevel="0" collapsed="false">
      <c r="A12" s="52" t="s">
        <v>105</v>
      </c>
      <c r="B12" s="52"/>
      <c r="C12" s="52"/>
      <c r="D12" s="52"/>
      <c r="E12" s="52"/>
      <c r="F12" s="52"/>
      <c r="G12" s="52"/>
    </row>
    <row r="13" customFormat="false" ht="21.75" hidden="false" customHeight="true" outlineLevel="0" collapsed="false">
      <c r="A13" s="53" t="s">
        <v>106</v>
      </c>
      <c r="B13" s="53"/>
      <c r="C13" s="53"/>
      <c r="D13" s="53"/>
      <c r="E13" s="53"/>
      <c r="F13" s="53"/>
      <c r="G13" s="53"/>
    </row>
    <row r="14" customFormat="false" ht="21.75" hidden="false" customHeight="true" outlineLevel="0" collapsed="false">
      <c r="A14" s="52" t="s">
        <v>107</v>
      </c>
      <c r="B14" s="52"/>
      <c r="C14" s="52"/>
      <c r="D14" s="52"/>
      <c r="E14" s="52"/>
      <c r="F14" s="52"/>
      <c r="G14" s="52"/>
    </row>
  </sheetData>
  <mergeCells count="7">
    <mergeCell ref="A1:G1"/>
    <mergeCell ref="A9:G9"/>
    <mergeCell ref="A10:G10"/>
    <mergeCell ref="A11:G11"/>
    <mergeCell ref="A12:G12"/>
    <mergeCell ref="A13:G13"/>
    <mergeCell ref="A14:G1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5"/>
    <col collapsed="false" customWidth="true" hidden="false" outlineLevel="0" max="2" min="2" style="1" width="16"/>
    <col collapsed="false" customWidth="true" hidden="false" outlineLevel="0" max="6" min="3" style="1" width="18"/>
  </cols>
  <sheetData>
    <row r="1" customFormat="false" ht="30" hidden="false" customHeight="true" outlineLevel="0" collapsed="false">
      <c r="A1" s="30" t="s">
        <v>108</v>
      </c>
      <c r="B1" s="30"/>
      <c r="C1" s="30"/>
      <c r="D1" s="30"/>
      <c r="E1" s="30"/>
      <c r="F1" s="30"/>
    </row>
    <row r="3" customFormat="false" ht="15" hidden="false" customHeight="true" outlineLevel="0" collapsed="false">
      <c r="A3" s="2" t="s">
        <v>2</v>
      </c>
      <c r="B3" s="2" t="s">
        <v>109</v>
      </c>
      <c r="C3" s="2" t="s">
        <v>94</v>
      </c>
      <c r="D3" s="2" t="s">
        <v>95</v>
      </c>
      <c r="E3" s="2" t="s">
        <v>96</v>
      </c>
      <c r="F3" s="2" t="s">
        <v>97</v>
      </c>
    </row>
    <row r="4" customFormat="false" ht="15" hidden="false" customHeight="true" outlineLevel="0" collapsed="false">
      <c r="A4" s="44" t="s">
        <v>25</v>
      </c>
      <c r="B4" s="31" t="n">
        <v>7</v>
      </c>
      <c r="C4" s="5" t="n">
        <v>572000</v>
      </c>
      <c r="D4" s="5" t="n">
        <v>493420</v>
      </c>
      <c r="E4" s="45" t="n">
        <v>78580</v>
      </c>
      <c r="F4" s="54" t="n">
        <f aca="false">E4/C4</f>
        <v>0.137377622377622</v>
      </c>
    </row>
    <row r="5" customFormat="false" ht="15" hidden="false" customHeight="true" outlineLevel="0" collapsed="false">
      <c r="A5" s="47" t="s">
        <v>20</v>
      </c>
      <c r="B5" s="34" t="n">
        <v>3</v>
      </c>
      <c r="C5" s="11" t="n">
        <v>105000</v>
      </c>
      <c r="D5" s="11" t="n">
        <v>93800</v>
      </c>
      <c r="E5" s="48" t="n">
        <v>11200</v>
      </c>
      <c r="F5" s="55" t="n">
        <f aca="false">E5/C5</f>
        <v>0.106666666666667</v>
      </c>
    </row>
    <row r="6" customFormat="false" ht="15" hidden="false" customHeight="true" outlineLevel="0" collapsed="false">
      <c r="A6" s="44" t="s">
        <v>34</v>
      </c>
      <c r="B6" s="31" t="n">
        <v>2</v>
      </c>
      <c r="C6" s="5" t="n">
        <v>42000</v>
      </c>
      <c r="D6" s="5" t="n">
        <v>36960</v>
      </c>
      <c r="E6" s="45" t="n">
        <v>5040</v>
      </c>
      <c r="F6" s="54" t="n">
        <f aca="false">E6/C6</f>
        <v>0.12</v>
      </c>
    </row>
    <row r="7" customFormat="false" ht="15" hidden="false" customHeight="true" outlineLevel="0" collapsed="false">
      <c r="A7" s="47" t="s">
        <v>13</v>
      </c>
      <c r="B7" s="34" t="n">
        <v>1</v>
      </c>
      <c r="C7" s="11" t="n">
        <v>25000</v>
      </c>
      <c r="D7" s="11" t="n">
        <v>22000</v>
      </c>
      <c r="E7" s="48" t="n">
        <v>3000</v>
      </c>
      <c r="F7" s="55" t="n">
        <f aca="false">E7/C7</f>
        <v>0.12</v>
      </c>
    </row>
    <row r="8" customFormat="false" ht="15" hidden="false" customHeight="true" outlineLevel="0" collapsed="false">
      <c r="A8" s="44" t="s">
        <v>41</v>
      </c>
      <c r="B8" s="31" t="n">
        <v>1</v>
      </c>
      <c r="C8" s="5" t="n">
        <v>9000</v>
      </c>
      <c r="D8" s="5" t="n">
        <v>8100</v>
      </c>
      <c r="E8" s="45" t="n">
        <v>900</v>
      </c>
      <c r="F8" s="54" t="n">
        <f aca="false">E8/C8</f>
        <v>0.1</v>
      </c>
    </row>
    <row r="9" customFormat="false" ht="15" hidden="false" customHeight="true" outlineLevel="0" collapsed="false">
      <c r="A9" s="2" t="s">
        <v>90</v>
      </c>
      <c r="B9" s="41" t="n">
        <f aca="false">SUM(B4:B8)</f>
        <v>14</v>
      </c>
      <c r="C9" s="42" t="n">
        <f aca="false">SUM(C4:C8)</f>
        <v>753000</v>
      </c>
      <c r="D9" s="42" t="n">
        <f aca="false">SUM(D4:D8)</f>
        <v>654280</v>
      </c>
      <c r="E9" s="42" t="n">
        <f aca="false">SUM(E4:E8)</f>
        <v>98720</v>
      </c>
      <c r="F9" s="43" t="n">
        <f aca="false">E9/C9</f>
        <v>0.131102257636122</v>
      </c>
    </row>
  </sheetData>
  <mergeCells count="1">
    <mergeCell ref="A1:F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2026-05-30T05:36:48Z</dcterms:created>
  <dc:creator>openpyxl</dc:creator>
  <dc:description/>
  <dc:language>en-US</dc:language>
  <cp:lastModifiedBy/>
  <dcterms:modified xsi:type="dcterms:W3CDTF">2026-05-30T05:37:12Z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